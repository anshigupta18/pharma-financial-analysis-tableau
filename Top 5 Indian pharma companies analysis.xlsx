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project- excel+tableau 1\"/>
    </mc:Choice>
  </mc:AlternateContent>
  <xr:revisionPtr revIDLastSave="0" documentId="8_{2D9E1AE8-330D-43E0-88DD-3D759284C216}" xr6:coauthVersionLast="47" xr6:coauthVersionMax="47" xr10:uidLastSave="{00000000-0000-0000-0000-000000000000}"/>
  <bookViews>
    <workbookView xWindow="-108" yWindow="-108" windowWidth="23256" windowHeight="12456" tabRatio="782" xr2:uid="{E3D42D70-5B32-4780-9DB3-06A471C2F1A8}"/>
  </bookViews>
  <sheets>
    <sheet name="Raw Data" sheetId="1" r:id="rId1"/>
    <sheet name="financial KPIs" sheetId="2" r:id="rId2"/>
    <sheet name="revenue comparison" sheetId="6" r:id="rId3"/>
    <sheet name="Market Cap vs Net Profit" sheetId="7" r:id="rId4"/>
    <sheet name="ROE Vs Debt-to-equity" sheetId="10" r:id="rId5"/>
  </sheets>
  <calcPr calcId="191029"/>
  <pivotCaches>
    <pivotCache cacheId="2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C3" i="2"/>
  <c r="C4" i="2"/>
  <c r="C5" i="2"/>
  <c r="C6" i="2"/>
  <c r="B3" i="2"/>
  <c r="B4" i="2"/>
  <c r="B5" i="2"/>
  <c r="B6" i="2"/>
  <c r="D2" i="2"/>
  <c r="C2" i="2"/>
  <c r="B2" i="2"/>
</calcChain>
</file>

<file path=xl/sharedStrings.xml><?xml version="1.0" encoding="utf-8"?>
<sst xmlns="http://schemas.openxmlformats.org/spreadsheetml/2006/main" count="48" uniqueCount="24">
  <si>
    <t>Company</t>
  </si>
  <si>
    <t>Net Profit (₹ Cr)</t>
  </si>
  <si>
    <t>ROE %</t>
  </si>
  <si>
    <t>Debt-to-Equity</t>
  </si>
  <si>
    <t>Sun Pharma</t>
  </si>
  <si>
    <t>Cipla</t>
  </si>
  <si>
    <t>Dr Reddy’s</t>
  </si>
  <si>
    <t>Biocon</t>
  </si>
  <si>
    <t>Zydus Lifesciences</t>
  </si>
  <si>
    <t>Market Cap (₹ Cr)</t>
  </si>
  <si>
    <t>Revenue             (₹ Cr)</t>
  </si>
  <si>
    <t>Profit Margin</t>
  </si>
  <si>
    <t>Revenue per market cap</t>
  </si>
  <si>
    <t>profit per market cap</t>
  </si>
  <si>
    <t>Row Labels</t>
  </si>
  <si>
    <t>Grand Total</t>
  </si>
  <si>
    <t>Sum of Revenue             (₹ Cr)</t>
  </si>
  <si>
    <t>Column Labels</t>
  </si>
  <si>
    <t>Revenue Comparison</t>
  </si>
  <si>
    <t>Sum of Market Cap (₹ Cr)</t>
  </si>
  <si>
    <t>Sum of Net Profit (₹ Cr)</t>
  </si>
  <si>
    <t>Sum of ROE %</t>
  </si>
  <si>
    <t>Sum of Debt-to-Equity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</si>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</sst>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78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2" fontId="0" fillId="0" borderId="0" xfId="0" applyNumberFormat="1"/>
    <xf numFmtId="0" fontId="0" fillId="0" borderId="0" xfId="0" applyNumberFormat="1" applyAlignment="1">
      <alignment horizontal="right" vertical="center" wrapText="1"/>
    </xf>
    <xf numFmtId="0" fontId="3" fillId="0" borderId="0" xfId="0" applyNumberFormat="1" applyFont="1" applyAlignment="1">
      <alignment horizontal="center" vertical="center" wrapText="1"/>
    </xf>
    <xf numFmtId="0" fontId="0" fillId="0" borderId="0" xfId="0" applyNumberFormat="1"/>
    <xf numFmtId="0" fontId="0" fillId="0" borderId="0" xfId="0" applyFont="1" applyAlignment="1">
      <alignment vertical="center" wrapText="1"/>
    </xf>
    <xf numFmtId="0" fontId="0" fillId="0" borderId="0" xfId="0" applyNumberFormat="1" applyFont="1"/>
    <xf numFmtId="0" fontId="0" fillId="0" borderId="0" xfId="0" applyFont="1"/>
    <xf numFmtId="0" fontId="4" fillId="0" borderId="0" xfId="0" applyNumberFormat="1" applyFont="1" applyAlignment="1">
      <alignment horizontal="right" vertical="center" wrapText="1"/>
    </xf>
    <xf numFmtId="0" fontId="4" fillId="0" borderId="0" xfId="1" applyNumberFormat="1" applyFont="1" applyAlignment="1">
      <alignment horizontal="right" vertical="center" wrapText="1"/>
    </xf>
    <xf numFmtId="17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2" fontId="0" fillId="0" borderId="0" xfId="0" applyNumberFormat="1" applyFont="1"/>
    <xf numFmtId="2" fontId="4" fillId="0" borderId="0" xfId="0" applyNumberFormat="1" applyFont="1"/>
    <xf numFmtId="2" fontId="0" fillId="0" borderId="0" xfId="0" applyNumberFormat="1" applyFont="1" applyAlignment="1">
      <alignment vertical="center" wrapText="1"/>
    </xf>
    <xf numFmtId="2" fontId="0" fillId="0" borderId="0" xfId="0" applyNumberFormat="1" applyAlignment="1">
      <alignment vertical="top"/>
    </xf>
  </cellXfs>
  <cellStyles count="2">
    <cellStyle name="Currency" xfId="1" builtinId="4"/>
    <cellStyle name="Normal" xfId="0" builtinId="0"/>
  </cellStyles>
  <dxfs count="7">
    <dxf>
      <alignment vertical="top"/>
    </dxf>
    <dxf>
      <alignment vertical="top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[Top 5 Indian pharma companies analysis.xlsx]revenue comparison!PivotTable1</c:name>
    <c:fmtId val="0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shade val="53000"/>
              </a:schemeClr>
            </a:solidFill>
            <a:ln w="9525">
              <a:solidFill>
                <a:schemeClr val="accent2">
                  <a:shade val="53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shade val="76000"/>
              </a:schemeClr>
            </a:solidFill>
            <a:ln w="9525">
              <a:solidFill>
                <a:schemeClr val="accent2">
                  <a:shade val="7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tint val="77000"/>
              </a:schemeClr>
            </a:solidFill>
            <a:ln w="9525">
              <a:solidFill>
                <a:schemeClr val="accent2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tint val="54000"/>
              </a:schemeClr>
            </a:solidFill>
            <a:ln w="9525">
              <a:solidFill>
                <a:schemeClr val="accent2">
                  <a:tint val="54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comparison'!$B$2:$B$3</c:f>
              <c:strCache>
                <c:ptCount val="1"/>
                <c:pt idx="0">
                  <c:v>Biocon</c:v>
                </c:pt>
              </c:strCache>
            </c:strRef>
          </c:tx>
          <c:spPr>
            <a:solidFill>
              <a:schemeClr val="accent2">
                <a:shade val="5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comparison'!$A$4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'revenue comparison'!$B$4</c:f>
              <c:numCache>
                <c:formatCode>General</c:formatCode>
                <c:ptCount val="1"/>
                <c:pt idx="0">
                  <c:v>15261.7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3-4285-9C6C-FDFB93CA76B4}"/>
            </c:ext>
          </c:extLst>
        </c:ser>
        <c:ser>
          <c:idx val="1"/>
          <c:order val="1"/>
          <c:tx>
            <c:strRef>
              <c:f>'revenue comparison'!$C$2:$C$3</c:f>
              <c:strCache>
                <c:ptCount val="1"/>
                <c:pt idx="0">
                  <c:v>Cipla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comparison'!$A$4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'revenue comparison'!$C$4</c:f>
              <c:numCache>
                <c:formatCode>General</c:formatCode>
                <c:ptCount val="1"/>
                <c:pt idx="0">
                  <c:v>27547.62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33-4285-9C6C-FDFB93CA76B4}"/>
            </c:ext>
          </c:extLst>
        </c:ser>
        <c:ser>
          <c:idx val="2"/>
          <c:order val="2"/>
          <c:tx>
            <c:strRef>
              <c:f>'revenue comparison'!$D$2:$D$3</c:f>
              <c:strCache>
                <c:ptCount val="1"/>
                <c:pt idx="0">
                  <c:v>Dr Reddy’s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comparison'!$A$4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'revenue comparison'!$D$4</c:f>
              <c:numCache>
                <c:formatCode>General</c:formatCode>
                <c:ptCount val="1"/>
                <c:pt idx="0">
                  <c:v>32643.9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333-4285-9C6C-FDFB93CA76B4}"/>
            </c:ext>
          </c:extLst>
        </c:ser>
        <c:ser>
          <c:idx val="3"/>
          <c:order val="3"/>
          <c:tx>
            <c:strRef>
              <c:f>'revenue comparison'!$E$2:$E$3</c:f>
              <c:strCache>
                <c:ptCount val="1"/>
                <c:pt idx="0">
                  <c:v>Sun Pharma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comparison'!$A$4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'revenue comparison'!$E$4</c:f>
              <c:numCache>
                <c:formatCode>General</c:formatCode>
                <c:ptCount val="1"/>
                <c:pt idx="0">
                  <c:v>52578.44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333-4285-9C6C-FDFB93CA76B4}"/>
            </c:ext>
          </c:extLst>
        </c:ser>
        <c:ser>
          <c:idx val="4"/>
          <c:order val="4"/>
          <c:tx>
            <c:strRef>
              <c:f>'revenue comparison'!$F$2:$F$3</c:f>
              <c:strCache>
                <c:ptCount val="1"/>
                <c:pt idx="0">
                  <c:v>Zydus Lifesciences</c:v>
                </c:pt>
              </c:strCache>
            </c:strRef>
          </c:tx>
          <c:spPr>
            <a:solidFill>
              <a:schemeClr val="accent2">
                <a:tint val="5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comparison'!$A$4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'revenue comparison'!$F$4</c:f>
              <c:numCache>
                <c:formatCode>General</c:formatCode>
                <c:ptCount val="1"/>
                <c:pt idx="0">
                  <c:v>23241.5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333-4285-9C6C-FDFB93CA76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02311584"/>
        <c:axId val="1102312064"/>
      </c:barChart>
      <c:catAx>
        <c:axId val="110231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312064"/>
        <c:crosses val="autoZero"/>
        <c:auto val="1"/>
        <c:lblAlgn val="ctr"/>
        <c:lblOffset val="100"/>
        <c:noMultiLvlLbl val="0"/>
      </c:catAx>
      <c:valAx>
        <c:axId val="110231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31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 5 Indian pharma companies analysis.xlsx]Market Cap vs Net Profit!PivotTable2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'Market Cap vs Net Profit'!$B$3</c:f>
              <c:strCache>
                <c:ptCount val="1"/>
                <c:pt idx="0">
                  <c:v>Sum of Market Cap (₹ Cr)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'Market Cap vs Net Profit'!$A$4:$A$9</c:f>
              <c:strCache>
                <c:ptCount val="5"/>
                <c:pt idx="0">
                  <c:v>Biocon</c:v>
                </c:pt>
                <c:pt idx="1">
                  <c:v>Cipla</c:v>
                </c:pt>
                <c:pt idx="2">
                  <c:v>Dr Reddy’s</c:v>
                </c:pt>
                <c:pt idx="3">
                  <c:v>Sun Pharma</c:v>
                </c:pt>
                <c:pt idx="4">
                  <c:v>Zydus Lifesciences</c:v>
                </c:pt>
              </c:strCache>
            </c:strRef>
          </c:cat>
          <c:val>
            <c:numRef>
              <c:f>'Market Cap vs Net Profit'!$B$4:$B$9</c:f>
              <c:numCache>
                <c:formatCode>General</c:formatCode>
                <c:ptCount val="5"/>
                <c:pt idx="0">
                  <c:v>53044</c:v>
                </c:pt>
                <c:pt idx="1">
                  <c:v>122139</c:v>
                </c:pt>
                <c:pt idx="2">
                  <c:v>103898</c:v>
                </c:pt>
                <c:pt idx="3">
                  <c:v>426902</c:v>
                </c:pt>
                <c:pt idx="4">
                  <c:v>93046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5-4172-8147-9551184F1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146418832"/>
        <c:axId val="1196455856"/>
      </c:barChart>
      <c:lineChart>
        <c:grouping val="standard"/>
        <c:varyColors val="0"/>
        <c:ser>
          <c:idx val="1"/>
          <c:order val="1"/>
          <c:tx>
            <c:strRef>
              <c:f>'Market Cap vs Net Profit'!$C$3</c:f>
              <c:strCache>
                <c:ptCount val="1"/>
                <c:pt idx="0">
                  <c:v>Sum of Net Profit (₹ Cr)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'Market Cap vs Net Profit'!$A$4:$A$9</c:f>
              <c:strCache>
                <c:ptCount val="5"/>
                <c:pt idx="0">
                  <c:v>Biocon</c:v>
                </c:pt>
                <c:pt idx="1">
                  <c:v>Cipla</c:v>
                </c:pt>
                <c:pt idx="2">
                  <c:v>Dr Reddy’s</c:v>
                </c:pt>
                <c:pt idx="3">
                  <c:v>Sun Pharma</c:v>
                </c:pt>
                <c:pt idx="4">
                  <c:v>Zydus Lifesciences</c:v>
                </c:pt>
              </c:strCache>
            </c:strRef>
          </c:cat>
          <c:val>
            <c:numRef>
              <c:f>'Market Cap vs Net Profit'!$C$4:$C$9</c:f>
              <c:numCache>
                <c:formatCode>General</c:formatCode>
                <c:ptCount val="5"/>
                <c:pt idx="0">
                  <c:v>1013.3</c:v>
                </c:pt>
                <c:pt idx="1">
                  <c:v>2149.88</c:v>
                </c:pt>
                <c:pt idx="2">
                  <c:v>5655.1</c:v>
                </c:pt>
                <c:pt idx="3">
                  <c:v>1221.8399999999999</c:v>
                </c:pt>
                <c:pt idx="4">
                  <c:v>4525.5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C5-4172-8147-9551184F1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4648640"/>
        <c:axId val="1144664480"/>
      </c:lineChart>
      <c:catAx>
        <c:axId val="114641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455856"/>
        <c:crosses val="autoZero"/>
        <c:auto val="1"/>
        <c:lblAlgn val="ctr"/>
        <c:lblOffset val="100"/>
        <c:noMultiLvlLbl val="0"/>
      </c:catAx>
      <c:valAx>
        <c:axId val="119645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418832"/>
        <c:crosses val="autoZero"/>
        <c:crossBetween val="between"/>
      </c:valAx>
      <c:valAx>
        <c:axId val="114466448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648640"/>
        <c:crosses val="max"/>
        <c:crossBetween val="between"/>
      </c:valAx>
      <c:catAx>
        <c:axId val="11446486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4466448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 5 Indian pharma companies analysis.xlsx]ROE Vs Debt-to-equity!PivotTable7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-4.1628341388621228E-17"/>
              <c:y val="-2.36966824644549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1.18483412322274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1.18483412322274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-4.1628341388621228E-17"/>
              <c:y val="-1.18483412322274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7.898894154818324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113862129631616"/>
          <c:y val="0.10576432685250836"/>
          <c:w val="0.4018356612099237"/>
          <c:h val="0.78681755420382882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'ROE Vs Debt-to-equity'!$B$3:$B$4</c:f>
              <c:strCache>
                <c:ptCount val="1"/>
                <c:pt idx="0">
                  <c:v>Sum of ROE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'ROE Vs Debt-to-equity'!$A$5:$A$10</c:f>
              <c:strCache>
                <c:ptCount val="5"/>
                <c:pt idx="0">
                  <c:v>Biocon</c:v>
                </c:pt>
                <c:pt idx="1">
                  <c:v>Cipla</c:v>
                </c:pt>
                <c:pt idx="2">
                  <c:v>Dr Reddy’s</c:v>
                </c:pt>
                <c:pt idx="3">
                  <c:v>Sun Pharma</c:v>
                </c:pt>
                <c:pt idx="4">
                  <c:v>Zydus Lifesciences</c:v>
                </c:pt>
              </c:strCache>
            </c:strRef>
          </c:cat>
          <c:val>
            <c:numRef>
              <c:f>'ROE Vs Debt-to-equity'!$B$5:$B$10</c:f>
              <c:numCache>
                <c:formatCode>0.00</c:formatCode>
                <c:ptCount val="5"/>
                <c:pt idx="0">
                  <c:v>4.76</c:v>
                </c:pt>
                <c:pt idx="1">
                  <c:v>17.77</c:v>
                </c:pt>
                <c:pt idx="2">
                  <c:v>17.96</c:v>
                </c:pt>
                <c:pt idx="3">
                  <c:v>16.86</c:v>
                </c:pt>
                <c:pt idx="4">
                  <c:v>21.21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9F-443D-9B7B-6BB1916D47E0}"/>
            </c:ext>
          </c:extLst>
        </c:ser>
        <c:ser>
          <c:idx val="1"/>
          <c:order val="1"/>
          <c:tx>
            <c:strRef>
              <c:f>'ROE Vs Debt-to-equity'!$C$3:$C$4</c:f>
              <c:strCache>
                <c:ptCount val="1"/>
                <c:pt idx="0">
                  <c:v>Sum of Debt-to-Equity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0"/>
                  <c:y val="-7.898894154818324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69F-443D-9B7B-6BB1916D47E0}"/>
                </c:ext>
              </c:extLst>
            </c:dLbl>
            <c:dLbl>
              <c:idx val="1"/>
              <c:layout>
                <c:manualLayout>
                  <c:x val="-4.1628341388621228E-17"/>
                  <c:y val="-1.18483412322274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69F-443D-9B7B-6BB1916D47E0}"/>
                </c:ext>
              </c:extLst>
            </c:dLbl>
            <c:dLbl>
              <c:idx val="2"/>
              <c:layout>
                <c:manualLayout>
                  <c:x val="0"/>
                  <c:y val="-1.18483412322274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69F-443D-9B7B-6BB1916D47E0}"/>
                </c:ext>
              </c:extLst>
            </c:dLbl>
            <c:dLbl>
              <c:idx val="3"/>
              <c:layout>
                <c:manualLayout>
                  <c:x val="0"/>
                  <c:y val="-1.18483412322274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9F-443D-9B7B-6BB1916D47E0}"/>
                </c:ext>
              </c:extLst>
            </c:dLbl>
            <c:dLbl>
              <c:idx val="4"/>
              <c:layout>
                <c:manualLayout>
                  <c:x val="-4.1628341388621228E-17"/>
                  <c:y val="-2.36966824644549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9F-443D-9B7B-6BB1916D47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'ROE Vs Debt-to-equity'!$A$5:$A$10</c:f>
              <c:strCache>
                <c:ptCount val="5"/>
                <c:pt idx="0">
                  <c:v>Biocon</c:v>
                </c:pt>
                <c:pt idx="1">
                  <c:v>Cipla</c:v>
                </c:pt>
                <c:pt idx="2">
                  <c:v>Dr Reddy’s</c:v>
                </c:pt>
                <c:pt idx="3">
                  <c:v>Sun Pharma</c:v>
                </c:pt>
                <c:pt idx="4">
                  <c:v>Zydus Lifesciences</c:v>
                </c:pt>
              </c:strCache>
            </c:strRef>
          </c:cat>
          <c:val>
            <c:numRef>
              <c:f>'ROE Vs Debt-to-equity'!$C$5:$C$10</c:f>
              <c:numCache>
                <c:formatCode>0.00</c:formatCode>
                <c:ptCount val="5"/>
                <c:pt idx="0">
                  <c:v>0.62</c:v>
                </c:pt>
                <c:pt idx="1">
                  <c:v>0.01</c:v>
                </c:pt>
                <c:pt idx="2">
                  <c:v>0.16</c:v>
                </c:pt>
                <c:pt idx="3">
                  <c:v>7.0000000000000007E-2</c:v>
                </c:pt>
                <c:pt idx="4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9F-443D-9B7B-6BB1916D4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49959840"/>
        <c:axId val="1249960800"/>
        <c:axId val="0"/>
      </c:bar3DChart>
      <c:catAx>
        <c:axId val="1249959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960800"/>
        <c:crosses val="autoZero"/>
        <c:auto val="1"/>
        <c:lblAlgn val="ctr"/>
        <c:lblOffset val="100"/>
        <c:noMultiLvlLbl val="0"/>
      </c:catAx>
      <c:valAx>
        <c:axId val="124996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95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434340</xdr:colOff>
      <xdr:row>5</xdr:row>
      <xdr:rowOff>121920</xdr:rowOff>
    </xdr:from>
    <xdr:to>
      <xdr:col>5</xdr:col>
      <xdr:colOff>922020</xdr:colOff>
      <xdr:row>20</xdr:row>
      <xdr:rowOff>121920</xdr:rowOff>
    </xdr:to>
    <xdr:graphicFrame macro="">
      <xdr:nvGraphicFramePr>
        <xdr:cNvPr id="2" name="Revenue Comparison">
          <a:extLst>
            <a:ext uri="{FF2B5EF4-FFF2-40B4-BE49-F238E27FC236}">
              <a16:creationId xmlns:a16="http://schemas.microsoft.com/office/drawing/2014/main" id="{58B9AA4A-E19D-77E1-60B8-74C386E38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1</xdr:row>
      <xdr:rowOff>80010</xdr:rowOff>
    </xdr:from>
    <xdr:to>
      <xdr:col>11</xdr:col>
      <xdr:colOff>228600</xdr:colOff>
      <xdr:row>16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653F15-6B7F-310F-F93E-7E04E0411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2</xdr:row>
      <xdr:rowOff>152400</xdr:rowOff>
    </xdr:from>
    <xdr:to>
      <xdr:col>10</xdr:col>
      <xdr:colOff>464820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2B48DD-92B4-15AF-8CDB-1CBA786BB8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ika Gupta" refreshedDate="45984.607889004626" createdVersion="8" refreshedVersion="8" minRefreshableVersion="3" recordCount="5" xr:uid="{641458FB-1D7C-46CE-9FF3-680FA5EA4353}">
  <cacheSource type="worksheet">
    <worksheetSource ref="A1:F6" sheet="Raw Data"/>
  </cacheSource>
  <cacheFields count="6">
    <cacheField name="Company" numFmtId="0">
      <sharedItems count="5">
        <s v="Sun Pharma"/>
        <s v="Cipla"/>
        <s v="Dr Reddy’s"/>
        <s v="Biocon"/>
        <s v="Zydus Lifesciences"/>
      </sharedItems>
    </cacheField>
    <cacheField name="Market Cap (₹ Cr)" numFmtId="0">
      <sharedItems containsSemiMixedTypes="0" containsString="0" containsNumber="1" containsInteger="1" minValue="53044" maxValue="426902"/>
    </cacheField>
    <cacheField name="Revenue             (₹ Cr)" numFmtId="0">
      <sharedItems containsSemiMixedTypes="0" containsString="0" containsNumber="1" minValue="15261.7" maxValue="52578.44"/>
    </cacheField>
    <cacheField name="Net Profit (₹ Cr)" numFmtId="0">
      <sharedItems containsSemiMixedTypes="0" containsString="0" containsNumber="1" minValue="1013.3" maxValue="5655.1"/>
    </cacheField>
    <cacheField name="ROE %" numFmtId="0">
      <sharedItems containsSemiMixedTypes="0" containsString="0" containsNumber="1" minValue="4.76" maxValue="21.21"/>
    </cacheField>
    <cacheField name="Debt-to-Equity" numFmtId="0">
      <sharedItems containsSemiMixedTypes="0" containsString="0" containsNumber="1" minValue="0.01" maxValue="0.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426902"/>
    <n v="52578.44"/>
    <n v="1221.8399999999999"/>
    <n v="16.86"/>
    <n v="7.0000000000000007E-2"/>
  </r>
  <r>
    <x v="1"/>
    <n v="122139"/>
    <n v="27547.62"/>
    <n v="2149.88"/>
    <n v="17.77"/>
    <n v="0.01"/>
  </r>
  <r>
    <x v="2"/>
    <n v="103898"/>
    <n v="32643.9"/>
    <n v="5655.1"/>
    <n v="17.96"/>
    <n v="0.16"/>
  </r>
  <r>
    <x v="3"/>
    <n v="53044"/>
    <n v="15261.7"/>
    <n v="1013.3"/>
    <n v="4.76"/>
    <n v="0.62"/>
  </r>
  <r>
    <x v="4"/>
    <n v="93046"/>
    <n v="23241.5"/>
    <n v="4525.5"/>
    <n v="21.21"/>
    <n v="0.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DA9AE3-C7D2-4849-97F9-9D2AF1BB0851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2:G4" firstHeaderRow="1" firstDataRow="2" firstDataCol="1"/>
  <pivotFields count="6">
    <pivotField axis="axisCol" showAll="0">
      <items count="6">
        <item x="3"/>
        <item x="1"/>
        <item x="2"/>
        <item x="0"/>
        <item x="4"/>
        <item t="default"/>
      </items>
    </pivotField>
    <pivotField showAll="0"/>
    <pivotField dataField="1" showAll="0"/>
    <pivotField showAll="0"/>
    <pivotField showAll="0"/>
    <pivotField showAll="0"/>
  </pivotFields>
  <rowItems count="1">
    <i/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Revenue             (₹ Cr)" fld="2" baseField="0" baseItem="0"/>
  </dataFields>
  <formats count="1">
    <format dxfId="6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67626-4AFC-4CE3-8987-0870B3806DEE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9" firstHeaderRow="0" firstDataRow="1" firstDataCol="1"/>
  <pivotFields count="6">
    <pivotField axis="axisRow" showAll="0">
      <items count="6">
        <item x="3"/>
        <item x="1"/>
        <item x="2"/>
        <item x="0"/>
        <item x="4"/>
        <item t="default"/>
      </items>
    </pivotField>
    <pivotField dataField="1" showAll="0"/>
    <pivotField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arket Cap (₹ Cr)" fld="1" baseField="0" baseItem="0"/>
    <dataField name="Sum of Net Profit (₹ Cr)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20355D-1A35-4583-B074-492CB3486070}" name="PivotTable7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0" firstHeaderRow="1" firstDataRow="2" firstDataCol="1"/>
  <pivotFields count="6"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OE %" fld="4" baseField="0" baseItem="0" numFmtId="2"/>
    <dataField name="Sum of Debt-to-Equity" fld="5" baseField="0" baseItem="0" numFmtId="2"/>
  </dataFields>
  <formats count="6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0B570-5992-49C9-8523-792E3125114D}">
  <dimension ref="A1:G6"/>
  <sheetViews>
    <sheetView tabSelected="1" workbookViewId="0">
      <selection activeCell="B23" sqref="B23"/>
    </sheetView>
  </sheetViews>
  <sheetFormatPr defaultRowHeight="14.4" x14ac:dyDescent="0.3"/>
  <cols>
    <col min="1" max="1" width="16.33203125" customWidth="1"/>
    <col min="2" max="2" width="14.109375" style="6" customWidth="1"/>
    <col min="3" max="3" width="20.21875" style="8" customWidth="1"/>
    <col min="4" max="4" width="13.44140625" customWidth="1"/>
    <col min="5" max="5" width="13.44140625" style="5" customWidth="1"/>
    <col min="6" max="6" width="18.88671875" style="5" customWidth="1"/>
  </cols>
  <sheetData>
    <row r="1" spans="1:7" ht="32.4" customHeight="1" x14ac:dyDescent="0.3">
      <c r="A1" s="3" t="s">
        <v>0</v>
      </c>
      <c r="B1" s="7" t="s">
        <v>9</v>
      </c>
      <c r="C1" s="7" t="s">
        <v>10</v>
      </c>
      <c r="D1" s="3" t="s">
        <v>1</v>
      </c>
      <c r="E1" s="4" t="s">
        <v>2</v>
      </c>
      <c r="F1" s="4" t="s">
        <v>3</v>
      </c>
      <c r="G1" s="1"/>
    </row>
    <row r="2" spans="1:7" x14ac:dyDescent="0.3">
      <c r="A2" s="9" t="s">
        <v>4</v>
      </c>
      <c r="B2" s="12">
        <v>426902</v>
      </c>
      <c r="C2" s="10">
        <v>52578.44</v>
      </c>
      <c r="D2" s="11">
        <v>1221.8399999999999</v>
      </c>
      <c r="E2" s="20">
        <v>16.86</v>
      </c>
      <c r="F2" s="20">
        <v>7.0000000000000007E-2</v>
      </c>
      <c r="G2" s="2"/>
    </row>
    <row r="3" spans="1:7" x14ac:dyDescent="0.3">
      <c r="A3" s="9" t="s">
        <v>5</v>
      </c>
      <c r="B3" s="12">
        <v>122139</v>
      </c>
      <c r="C3" s="10">
        <v>27547.62</v>
      </c>
      <c r="D3" s="11">
        <v>2149.88</v>
      </c>
      <c r="E3" s="20">
        <v>17.77</v>
      </c>
      <c r="F3" s="20">
        <v>0.01</v>
      </c>
      <c r="G3" s="2"/>
    </row>
    <row r="4" spans="1:7" x14ac:dyDescent="0.3">
      <c r="A4" s="9" t="s">
        <v>6</v>
      </c>
      <c r="B4" s="13">
        <v>103898</v>
      </c>
      <c r="C4" s="10">
        <v>32643.9</v>
      </c>
      <c r="D4" s="11">
        <v>5655.1</v>
      </c>
      <c r="E4" s="20">
        <v>17.96</v>
      </c>
      <c r="F4" s="22">
        <v>0.16</v>
      </c>
      <c r="G4" s="2"/>
    </row>
    <row r="5" spans="1:7" x14ac:dyDescent="0.3">
      <c r="A5" s="9" t="s">
        <v>7</v>
      </c>
      <c r="B5" s="12">
        <v>53044</v>
      </c>
      <c r="C5" s="10">
        <v>15261.7</v>
      </c>
      <c r="D5" s="11">
        <v>1013.3</v>
      </c>
      <c r="E5" s="21">
        <v>4.76</v>
      </c>
      <c r="F5" s="22">
        <v>0.62</v>
      </c>
      <c r="G5" s="2"/>
    </row>
    <row r="6" spans="1:7" x14ac:dyDescent="0.3">
      <c r="A6" s="9" t="s">
        <v>8</v>
      </c>
      <c r="B6" s="12">
        <v>93046</v>
      </c>
      <c r="C6" s="10">
        <v>23241.5</v>
      </c>
      <c r="D6" s="11">
        <v>4525.5</v>
      </c>
      <c r="E6" s="21">
        <v>21.21</v>
      </c>
      <c r="F6" s="22">
        <v>0.38</v>
      </c>
      <c r="G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476E0-E669-4DF5-AE32-D408647874BE}">
  <dimension ref="A1:D6"/>
  <sheetViews>
    <sheetView workbookViewId="0">
      <selection activeCell="D2" sqref="D2"/>
    </sheetView>
  </sheetViews>
  <sheetFormatPr defaultRowHeight="14.4" x14ac:dyDescent="0.3"/>
  <cols>
    <col min="1" max="1" width="12.77734375" customWidth="1"/>
    <col min="2" max="2" width="15.33203125" customWidth="1"/>
    <col min="3" max="3" width="21.88671875" customWidth="1"/>
    <col min="4" max="4" width="16.33203125" customWidth="1"/>
  </cols>
  <sheetData>
    <row r="1" spans="1:4" x14ac:dyDescent="0.3">
      <c r="A1" t="s">
        <v>0</v>
      </c>
      <c r="B1" t="s">
        <v>11</v>
      </c>
      <c r="C1" t="s">
        <v>12</v>
      </c>
      <c r="D1" t="s">
        <v>13</v>
      </c>
    </row>
    <row r="2" spans="1:4" x14ac:dyDescent="0.3">
      <c r="A2" s="9" t="s">
        <v>4</v>
      </c>
      <c r="B2" s="5">
        <f>'Raw Data'!D2/'Raw Data'!C2</f>
        <v>2.323842244083316E-2</v>
      </c>
      <c r="C2" s="5">
        <f>'Raw Data'!C2/'Raw Data'!B2</f>
        <v>0.12316278677541918</v>
      </c>
      <c r="D2" s="14">
        <f>'Raw Data'!D2/'Raw Data'!B2</f>
        <v>2.862108868077451E-3</v>
      </c>
    </row>
    <row r="3" spans="1:4" x14ac:dyDescent="0.3">
      <c r="A3" s="9" t="s">
        <v>5</v>
      </c>
      <c r="B3" s="5">
        <f>'Raw Data'!D3/'Raw Data'!C3</f>
        <v>7.8042313637257957E-2</v>
      </c>
      <c r="C3" s="5">
        <f>'Raw Data'!C3/'Raw Data'!B3</f>
        <v>0.22554319259204675</v>
      </c>
      <c r="D3" s="14">
        <f>'Raw Data'!D3/'Raw Data'!B3</f>
        <v>1.760191257501699E-2</v>
      </c>
    </row>
    <row r="4" spans="1:4" x14ac:dyDescent="0.3">
      <c r="A4" s="9" t="s">
        <v>6</v>
      </c>
      <c r="B4" s="5">
        <f>'Raw Data'!D4/'Raw Data'!C4</f>
        <v>0.17323604103676338</v>
      </c>
      <c r="C4" s="5">
        <f>'Raw Data'!C4/'Raw Data'!B4</f>
        <v>0.31419180349958614</v>
      </c>
      <c r="D4" s="14">
        <f>'Raw Data'!D4/'Raw Data'!B4</f>
        <v>5.4429344164468998E-2</v>
      </c>
    </row>
    <row r="5" spans="1:4" x14ac:dyDescent="0.3">
      <c r="A5" s="9" t="s">
        <v>7</v>
      </c>
      <c r="B5" s="5">
        <f>'Raw Data'!D5/'Raw Data'!C5</f>
        <v>6.6394962553319739E-2</v>
      </c>
      <c r="C5" s="5">
        <f>'Raw Data'!C5/'Raw Data'!B5</f>
        <v>0.28771774375989745</v>
      </c>
      <c r="D5" s="14">
        <f>'Raw Data'!D5/'Raw Data'!B5</f>
        <v>1.9103008822864035E-2</v>
      </c>
    </row>
    <row r="6" spans="1:4" ht="28.8" x14ac:dyDescent="0.3">
      <c r="A6" s="9" t="s">
        <v>8</v>
      </c>
      <c r="B6" s="5">
        <f>'Raw Data'!D6/'Raw Data'!C6</f>
        <v>0.19471634791213993</v>
      </c>
      <c r="C6" s="5">
        <f>'Raw Data'!C6/'Raw Data'!B6</f>
        <v>0.24978505255465039</v>
      </c>
      <c r="D6" s="14">
        <f>'Raw Data'!D6/'Raw Data'!B6</f>
        <v>4.8637233196483456E-2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BF265-B1B8-4B1D-8A1C-4541EF2E3E88}">
  <dimension ref="A1:G4"/>
  <sheetViews>
    <sheetView workbookViewId="0">
      <selection activeCell="G15" sqref="G15"/>
    </sheetView>
  </sheetViews>
  <sheetFormatPr defaultRowHeight="14.4" x14ac:dyDescent="0.3"/>
  <cols>
    <col min="1" max="1" width="25.5546875" bestFit="1" customWidth="1"/>
    <col min="2" max="2" width="15.5546875" bestFit="1" customWidth="1"/>
    <col min="3" max="3" width="11.33203125" customWidth="1"/>
    <col min="4" max="4" width="10" bestFit="1" customWidth="1"/>
    <col min="5" max="5" width="13.33203125" customWidth="1"/>
    <col min="6" max="6" width="20.5546875" customWidth="1"/>
    <col min="7" max="7" width="10.77734375" bestFit="1" customWidth="1"/>
  </cols>
  <sheetData>
    <row r="1" spans="1:7" x14ac:dyDescent="0.3">
      <c r="A1" s="18" t="s">
        <v>18</v>
      </c>
      <c r="B1" s="19"/>
      <c r="C1" s="19"/>
      <c r="D1" s="19"/>
      <c r="E1" s="19"/>
      <c r="F1" s="19"/>
      <c r="G1" s="19"/>
    </row>
    <row r="2" spans="1:7" x14ac:dyDescent="0.3">
      <c r="B2" s="15" t="s">
        <v>17</v>
      </c>
    </row>
    <row r="3" spans="1:7" x14ac:dyDescent="0.3">
      <c r="B3" t="s">
        <v>7</v>
      </c>
      <c r="C3" t="s">
        <v>5</v>
      </c>
      <c r="D3" t="s">
        <v>6</v>
      </c>
      <c r="E3" t="s">
        <v>4</v>
      </c>
      <c r="F3" t="s">
        <v>8</v>
      </c>
      <c r="G3" t="s">
        <v>15</v>
      </c>
    </row>
    <row r="4" spans="1:7" x14ac:dyDescent="0.3">
      <c r="A4" t="s">
        <v>16</v>
      </c>
      <c r="B4" s="17">
        <v>15261.7</v>
      </c>
      <c r="C4" s="17">
        <v>27547.62</v>
      </c>
      <c r="D4" s="17">
        <v>32643.9</v>
      </c>
      <c r="E4" s="17">
        <v>52578.44</v>
      </c>
      <c r="F4" s="17">
        <v>23241.5</v>
      </c>
      <c r="G4" s="17">
        <v>151273.16</v>
      </c>
    </row>
  </sheetData>
  <mergeCells count="1">
    <mergeCell ref="A1:G1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7A6DE-15BD-4883-81C2-E3BA81EFEBD2}">
  <dimension ref="A3:C9"/>
  <sheetViews>
    <sheetView workbookViewId="0">
      <selection activeCell="C18" sqref="C18"/>
    </sheetView>
  </sheetViews>
  <sheetFormatPr defaultRowHeight="14.4" x14ac:dyDescent="0.3"/>
  <cols>
    <col min="1" max="1" width="15.88671875" bestFit="1" customWidth="1"/>
    <col min="2" max="2" width="22.5546875" bestFit="1" customWidth="1"/>
    <col min="3" max="3" width="20.77734375" bestFit="1" customWidth="1"/>
  </cols>
  <sheetData>
    <row r="3" spans="1:3" x14ac:dyDescent="0.3">
      <c r="A3" s="15" t="s">
        <v>14</v>
      </c>
      <c r="B3" t="s">
        <v>19</v>
      </c>
      <c r="C3" t="s">
        <v>20</v>
      </c>
    </row>
    <row r="4" spans="1:3" x14ac:dyDescent="0.3">
      <c r="A4" s="16" t="s">
        <v>7</v>
      </c>
      <c r="B4" s="8">
        <v>53044</v>
      </c>
      <c r="C4" s="8">
        <v>1013.3</v>
      </c>
    </row>
    <row r="5" spans="1:3" x14ac:dyDescent="0.3">
      <c r="A5" s="16" t="s">
        <v>5</v>
      </c>
      <c r="B5" s="8">
        <v>122139</v>
      </c>
      <c r="C5" s="8">
        <v>2149.88</v>
      </c>
    </row>
    <row r="6" spans="1:3" x14ac:dyDescent="0.3">
      <c r="A6" s="16" t="s">
        <v>6</v>
      </c>
      <c r="B6" s="8">
        <v>103898</v>
      </c>
      <c r="C6" s="8">
        <v>5655.1</v>
      </c>
    </row>
    <row r="7" spans="1:3" x14ac:dyDescent="0.3">
      <c r="A7" s="16" t="s">
        <v>4</v>
      </c>
      <c r="B7" s="8">
        <v>426902</v>
      </c>
      <c r="C7" s="8">
        <v>1221.8399999999999</v>
      </c>
    </row>
    <row r="8" spans="1:3" x14ac:dyDescent="0.3">
      <c r="A8" s="16" t="s">
        <v>8</v>
      </c>
      <c r="B8" s="8">
        <v>93046</v>
      </c>
      <c r="C8" s="8">
        <v>4525.5</v>
      </c>
    </row>
    <row r="9" spans="1:3" x14ac:dyDescent="0.3">
      <c r="A9" s="16" t="s">
        <v>15</v>
      </c>
      <c r="B9" s="8">
        <v>799029</v>
      </c>
      <c r="C9" s="8">
        <v>14565.62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9DE4-24D3-4AB1-A478-0F3164DA861C}">
  <dimension ref="A3:C10"/>
  <sheetViews>
    <sheetView workbookViewId="0">
      <selection activeCell="D25" sqref="D25"/>
    </sheetView>
  </sheetViews>
  <sheetFormatPr defaultRowHeight="14.4" x14ac:dyDescent="0.3"/>
  <cols>
    <col min="1" max="1" width="15.88671875" bestFit="1" customWidth="1"/>
    <col min="2" max="2" width="12.77734375" style="23" bestFit="1" customWidth="1"/>
    <col min="3" max="3" width="20.109375" style="5" bestFit="1" customWidth="1"/>
    <col min="4" max="5" width="16.44140625" bestFit="1" customWidth="1"/>
    <col min="6" max="6" width="10.77734375" bestFit="1" customWidth="1"/>
  </cols>
  <sheetData>
    <row r="3" spans="1:3" x14ac:dyDescent="0.3">
      <c r="B3" s="15" t="s">
        <v>23</v>
      </c>
      <c r="C3"/>
    </row>
    <row r="4" spans="1:3" x14ac:dyDescent="0.3">
      <c r="A4" s="15" t="s">
        <v>14</v>
      </c>
      <c r="B4" s="23" t="s">
        <v>21</v>
      </c>
      <c r="C4" s="5" t="s">
        <v>22</v>
      </c>
    </row>
    <row r="5" spans="1:3" x14ac:dyDescent="0.3">
      <c r="A5" s="16" t="s">
        <v>7</v>
      </c>
      <c r="B5" s="23">
        <v>4.76</v>
      </c>
      <c r="C5" s="5">
        <v>0.62</v>
      </c>
    </row>
    <row r="6" spans="1:3" x14ac:dyDescent="0.3">
      <c r="A6" s="16" t="s">
        <v>5</v>
      </c>
      <c r="B6" s="23">
        <v>17.77</v>
      </c>
      <c r="C6" s="5">
        <v>0.01</v>
      </c>
    </row>
    <row r="7" spans="1:3" x14ac:dyDescent="0.3">
      <c r="A7" s="16" t="s">
        <v>6</v>
      </c>
      <c r="B7" s="23">
        <v>17.96</v>
      </c>
      <c r="C7" s="5">
        <v>0.16</v>
      </c>
    </row>
    <row r="8" spans="1:3" x14ac:dyDescent="0.3">
      <c r="A8" s="16" t="s">
        <v>4</v>
      </c>
      <c r="B8" s="23">
        <v>16.86</v>
      </c>
      <c r="C8" s="5">
        <v>7.0000000000000007E-2</v>
      </c>
    </row>
    <row r="9" spans="1:3" x14ac:dyDescent="0.3">
      <c r="A9" s="16" t="s">
        <v>8</v>
      </c>
      <c r="B9" s="23">
        <v>21.21</v>
      </c>
      <c r="C9" s="5">
        <v>0.38</v>
      </c>
    </row>
    <row r="10" spans="1:3" x14ac:dyDescent="0.3">
      <c r="A10" s="16" t="s">
        <v>15</v>
      </c>
      <c r="B10" s="23">
        <v>78.56</v>
      </c>
      <c r="C10" s="5">
        <v>1.2400000000000002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financial KPIs</vt:lpstr>
      <vt:lpstr>revenue comparison</vt:lpstr>
      <vt:lpstr>Market Cap vs Net Profit</vt:lpstr>
      <vt:lpstr>ROE Vs Debt-to-equity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Anshika Gupta</dc:creator>
  <cp:lastModifiedBy>Anshika Gupta</cp:lastModifiedBy>
  <dcterms:created xsi:type="dcterms:W3CDTF">2025-11-23T08:07:05Z</dcterms:created>
  <dcterms:modified xsi:type="dcterms:W3CDTF">2025-11-23T09:52:38Z</dcterms:modified>
</cp:coreProperties>
</file>